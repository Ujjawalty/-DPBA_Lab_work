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k\Downloads\"/>
    </mc:Choice>
  </mc:AlternateContent>
  <xr:revisionPtr revIDLastSave="0" documentId="13_ncr:1_{6AED6DDB-BDE8-4F84-BFA4-CD8A8E0E608D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H30" i="1"/>
  <c r="H28" i="1"/>
  <c r="H20" i="1"/>
  <c r="H26" i="1"/>
  <c r="H18" i="1"/>
  <c r="H19" i="1"/>
  <c r="H12" i="1"/>
  <c r="H22" i="1"/>
  <c r="H8" i="1"/>
  <c r="H10" i="1"/>
  <c r="H16" i="1"/>
  <c r="H14" i="1"/>
  <c r="H6" i="1"/>
  <c r="H4" i="1"/>
  <c r="H2" i="1"/>
</calcChain>
</file>

<file path=xl/sharedStrings.xml><?xml version="1.0" encoding="utf-8"?>
<sst xmlns="http://schemas.openxmlformats.org/spreadsheetml/2006/main" count="223" uniqueCount="49">
  <si>
    <t>Product_Name</t>
  </si>
  <si>
    <t>Category</t>
  </si>
  <si>
    <t>Region</t>
  </si>
  <si>
    <t>Month</t>
  </si>
  <si>
    <t>Sales_Amount</t>
  </si>
  <si>
    <t>Tata Tea</t>
  </si>
  <si>
    <t>Beverage</t>
  </si>
  <si>
    <t>North</t>
  </si>
  <si>
    <t>Jan</t>
  </si>
  <si>
    <t>Reliance Smart Rice</t>
  </si>
  <si>
    <t>Grocery</t>
  </si>
  <si>
    <t>South</t>
  </si>
  <si>
    <t>Feb</t>
  </si>
  <si>
    <t>Amul Milk</t>
  </si>
  <si>
    <t>Dairy</t>
  </si>
  <si>
    <t>East</t>
  </si>
  <si>
    <t>Mar</t>
  </si>
  <si>
    <t>Parle-G Biscuits</t>
  </si>
  <si>
    <t>Snacks</t>
  </si>
  <si>
    <t>West</t>
  </si>
  <si>
    <t>Apr</t>
  </si>
  <si>
    <t>Haldiram Namkeen</t>
  </si>
  <si>
    <t>May</t>
  </si>
  <si>
    <t>Patanjali Atta</t>
  </si>
  <si>
    <t>ITC Aashirvaad</t>
  </si>
  <si>
    <t>Britannia Bread</t>
  </si>
  <si>
    <t>Bakery</t>
  </si>
  <si>
    <t>Dabur Honey</t>
  </si>
  <si>
    <t>Health</t>
  </si>
  <si>
    <t>Godrej Soap</t>
  </si>
  <si>
    <t>Personal Care</t>
  </si>
  <si>
    <t>1. Find the total sales amount of all products.</t>
  </si>
  <si>
    <t>2. Calculate total sales for the first 10 records.</t>
  </si>
  <si>
    <t>3. Find the total sales for January</t>
  </si>
  <si>
    <t>4. Find the total sales for West region.</t>
  </si>
  <si>
    <t>5. Calculate overall sales of Snack category products.</t>
  </si>
  <si>
    <t>6. Find total sales of Amul Milk.</t>
  </si>
  <si>
    <t>7. Calculate total sales for North region.</t>
  </si>
  <si>
    <t>8. Find total sales for Snacks category.</t>
  </si>
  <si>
    <t>11. Find total sales of Amul Milk in East region.</t>
  </si>
  <si>
    <t>12. Calculate total sales for January month in West region.</t>
  </si>
  <si>
    <t>13. Find total sales of Patanjali Atta in North region.</t>
  </si>
  <si>
    <t>16. Find total sales where Sales Amount &gt; 2000.</t>
  </si>
  <si>
    <t>17. Calculate total sales of Beverage category in March.</t>
  </si>
  <si>
    <t>18. Find total sales of Godrej Soap in South region.</t>
  </si>
  <si>
    <t>19. Calculate total sales of ITC Aashirvaad in East region.</t>
  </si>
  <si>
    <t>20. Find total sales of Dairy products in all regions except North.</t>
  </si>
  <si>
    <t>9. Calculate total sales for March month.</t>
  </si>
  <si>
    <t>10. Find total sales of products from Tata brand.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</si>
</sst>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9" zoomScale="90" zoomScaleNormal="90" workbookViewId="0">
      <selection activeCell="I8" sqref="I8"/>
    </sheetView>
  </sheetViews>
  <sheetFormatPr defaultRowHeight="15" x14ac:dyDescent="0.25"/>
  <cols>
    <col min="1" max="1" width="12.85546875" customWidth="1"/>
    <col min="7" max="7" width="5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>
        <v>100</v>
      </c>
      <c r="G2" t="s">
        <v>31</v>
      </c>
      <c r="H2">
        <f>SUM($E$2:$E$51)</f>
        <v>127500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>
        <v>200</v>
      </c>
    </row>
    <row r="4" spans="1:8" x14ac:dyDescent="0.25">
      <c r="A4" t="s">
        <v>13</v>
      </c>
      <c r="B4" t="s">
        <v>14</v>
      </c>
      <c r="C4" t="s">
        <v>15</v>
      </c>
      <c r="D4" t="s">
        <v>16</v>
      </c>
      <c r="E4">
        <v>300</v>
      </c>
      <c r="G4" t="s">
        <v>32</v>
      </c>
      <c r="H4">
        <f>SUM($E$2:$E$11)</f>
        <v>5500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>
        <v>400</v>
      </c>
    </row>
    <row r="6" spans="1:8" x14ac:dyDescent="0.25">
      <c r="A6" t="s">
        <v>21</v>
      </c>
      <c r="B6" t="s">
        <v>18</v>
      </c>
      <c r="C6" t="s">
        <v>7</v>
      </c>
      <c r="D6" t="s">
        <v>22</v>
      </c>
      <c r="E6">
        <v>500</v>
      </c>
      <c r="G6" t="s">
        <v>33</v>
      </c>
      <c r="H6">
        <f>SUMIF($D$2:$D$51,"jan",$E$2:$E$51)</f>
        <v>23500</v>
      </c>
    </row>
    <row r="7" spans="1:8" x14ac:dyDescent="0.25">
      <c r="A7" t="s">
        <v>23</v>
      </c>
      <c r="B7" t="s">
        <v>10</v>
      </c>
      <c r="C7" t="s">
        <v>11</v>
      </c>
      <c r="D7" t="s">
        <v>8</v>
      </c>
      <c r="E7">
        <v>600</v>
      </c>
    </row>
    <row r="8" spans="1:8" x14ac:dyDescent="0.25">
      <c r="A8" t="s">
        <v>24</v>
      </c>
      <c r="B8" t="s">
        <v>10</v>
      </c>
      <c r="C8" t="s">
        <v>15</v>
      </c>
      <c r="D8" t="s">
        <v>12</v>
      </c>
      <c r="E8">
        <v>700</v>
      </c>
      <c r="G8" t="s">
        <v>34</v>
      </c>
      <c r="H8">
        <f>SUMIF($C$2:$C$51,"west",$E$2:$E$51)</f>
        <v>31200</v>
      </c>
    </row>
    <row r="9" spans="1:8" x14ac:dyDescent="0.25">
      <c r="A9" t="s">
        <v>25</v>
      </c>
      <c r="B9" t="s">
        <v>26</v>
      </c>
      <c r="C9" t="s">
        <v>19</v>
      </c>
      <c r="D9" t="s">
        <v>16</v>
      </c>
      <c r="E9">
        <v>800</v>
      </c>
    </row>
    <row r="10" spans="1:8" x14ac:dyDescent="0.25">
      <c r="A10" t="s">
        <v>27</v>
      </c>
      <c r="B10" t="s">
        <v>28</v>
      </c>
      <c r="C10" t="s">
        <v>7</v>
      </c>
      <c r="D10" t="s">
        <v>20</v>
      </c>
      <c r="E10">
        <v>900</v>
      </c>
      <c r="G10" t="s">
        <v>35</v>
      </c>
      <c r="H10">
        <f>SUMIF($B$2:$B$51,"Snacks",$E$2:$E$51)</f>
        <v>24500</v>
      </c>
    </row>
    <row r="11" spans="1:8" x14ac:dyDescent="0.25">
      <c r="A11" t="s">
        <v>29</v>
      </c>
      <c r="B11" t="s">
        <v>30</v>
      </c>
      <c r="C11" t="s">
        <v>11</v>
      </c>
      <c r="D11" t="s">
        <v>22</v>
      </c>
      <c r="E11">
        <v>1000</v>
      </c>
    </row>
    <row r="12" spans="1:8" x14ac:dyDescent="0.25">
      <c r="A12" t="s">
        <v>5</v>
      </c>
      <c r="B12" t="s">
        <v>6</v>
      </c>
      <c r="C12" t="s">
        <v>15</v>
      </c>
      <c r="D12" t="s">
        <v>8</v>
      </c>
      <c r="E12">
        <v>1100</v>
      </c>
      <c r="G12" t="s">
        <v>36</v>
      </c>
      <c r="H12">
        <f>SUMIF($A$2:$A$51,"Amul Milk",$E$2:$E$51)</f>
        <v>11500</v>
      </c>
    </row>
    <row r="13" spans="1:8" x14ac:dyDescent="0.25">
      <c r="A13" t="s">
        <v>9</v>
      </c>
      <c r="B13" t="s">
        <v>10</v>
      </c>
      <c r="C13" t="s">
        <v>19</v>
      </c>
      <c r="D13" t="s">
        <v>12</v>
      </c>
      <c r="E13">
        <v>1200</v>
      </c>
    </row>
    <row r="14" spans="1:8" x14ac:dyDescent="0.25">
      <c r="A14" t="s">
        <v>13</v>
      </c>
      <c r="B14" t="s">
        <v>14</v>
      </c>
      <c r="C14" t="s">
        <v>7</v>
      </c>
      <c r="D14" t="s">
        <v>16</v>
      </c>
      <c r="E14">
        <v>1300</v>
      </c>
      <c r="G14" t="s">
        <v>37</v>
      </c>
      <c r="H14">
        <f>SUMIF($C$2:$C$51,"North",$E$2:$E$51)</f>
        <v>32500</v>
      </c>
    </row>
    <row r="15" spans="1:8" x14ac:dyDescent="0.25">
      <c r="A15" t="s">
        <v>17</v>
      </c>
      <c r="B15" t="s">
        <v>18</v>
      </c>
      <c r="C15" t="s">
        <v>11</v>
      </c>
      <c r="D15" t="s">
        <v>20</v>
      </c>
      <c r="E15">
        <v>1400</v>
      </c>
    </row>
    <row r="16" spans="1:8" x14ac:dyDescent="0.25">
      <c r="A16" t="s">
        <v>21</v>
      </c>
      <c r="B16" t="s">
        <v>18</v>
      </c>
      <c r="C16" t="s">
        <v>15</v>
      </c>
      <c r="D16" t="s">
        <v>22</v>
      </c>
      <c r="E16">
        <v>1500</v>
      </c>
      <c r="G16" t="s">
        <v>38</v>
      </c>
      <c r="H16">
        <f>SUMIF($B$2:$B$51,"Snacks",$E$2:$E$51)</f>
        <v>24500</v>
      </c>
    </row>
    <row r="17" spans="1:9" ht="15.75" x14ac:dyDescent="0.25">
      <c r="A17" t="s">
        <v>23</v>
      </c>
      <c r="B17" t="s">
        <v>10</v>
      </c>
      <c r="C17" t="s">
        <v>19</v>
      </c>
      <c r="D17" t="s">
        <v>8</v>
      </c>
      <c r="E17">
        <v>1600</v>
      </c>
      <c r="G17" s="1" t="s">
        <v>47</v>
      </c>
      <c r="I17" s="1">
        <f>SUMIF($D$2:$D$51,"Mar",$E$2:$E$51)</f>
        <v>25500</v>
      </c>
    </row>
    <row r="18" spans="1:9" ht="15.75" x14ac:dyDescent="0.25">
      <c r="A18" t="s">
        <v>24</v>
      </c>
      <c r="B18" t="s">
        <v>10</v>
      </c>
      <c r="C18" t="s">
        <v>7</v>
      </c>
      <c r="D18" t="s">
        <v>12</v>
      </c>
      <c r="E18">
        <v>1700</v>
      </c>
      <c r="G18" s="1" t="s">
        <v>48</v>
      </c>
      <c r="H18">
        <f>SUMIF($A$2:$A$51,"Tata Tea",$E$2:$E$51)</f>
        <v>10500</v>
      </c>
    </row>
    <row r="19" spans="1:9" x14ac:dyDescent="0.25">
      <c r="A19" t="s">
        <v>25</v>
      </c>
      <c r="B19" t="s">
        <v>26</v>
      </c>
      <c r="C19" t="s">
        <v>11</v>
      </c>
      <c r="D19" t="s">
        <v>16</v>
      </c>
      <c r="E19">
        <v>1800</v>
      </c>
      <c r="G19" t="s">
        <v>39</v>
      </c>
      <c r="H19">
        <f>SUMIFS($E$2:$E$51,$A$2:$A$51,"Amul Milk",$C$2:$C$51,"East")</f>
        <v>6900</v>
      </c>
    </row>
    <row r="20" spans="1:9" x14ac:dyDescent="0.25">
      <c r="A20" t="s">
        <v>27</v>
      </c>
      <c r="B20" t="s">
        <v>28</v>
      </c>
      <c r="C20" t="s">
        <v>15</v>
      </c>
      <c r="D20" t="s">
        <v>20</v>
      </c>
      <c r="E20">
        <v>1900</v>
      </c>
      <c r="G20" t="s">
        <v>40</v>
      </c>
      <c r="H20">
        <f>SUMIFS($E$2:$E$51,$D$2:$D$51,"Jan",$C$2:$C$51,"West")</f>
        <v>5200</v>
      </c>
    </row>
    <row r="21" spans="1:9" x14ac:dyDescent="0.25">
      <c r="A21" t="s">
        <v>29</v>
      </c>
      <c r="B21" t="s">
        <v>30</v>
      </c>
      <c r="C21" t="s">
        <v>19</v>
      </c>
      <c r="D21" t="s">
        <v>22</v>
      </c>
      <c r="E21">
        <v>2000</v>
      </c>
    </row>
    <row r="22" spans="1:9" ht="15.75" x14ac:dyDescent="0.25">
      <c r="A22" t="s">
        <v>5</v>
      </c>
      <c r="B22" t="s">
        <v>6</v>
      </c>
      <c r="C22" t="s">
        <v>7</v>
      </c>
      <c r="D22" t="s">
        <v>8</v>
      </c>
      <c r="E22">
        <v>2100</v>
      </c>
      <c r="G22" t="s">
        <v>41</v>
      </c>
      <c r="H22" s="1">
        <f>SUMIFS($E$2:$E$51,$A$2:$A$51,"Patanjali Atta",$C$2:$C$51,"North")</f>
        <v>0</v>
      </c>
    </row>
    <row r="23" spans="1:9" x14ac:dyDescent="0.25">
      <c r="A23" t="s">
        <v>9</v>
      </c>
      <c r="B23" t="s">
        <v>10</v>
      </c>
      <c r="C23" t="s">
        <v>11</v>
      </c>
      <c r="D23" t="s">
        <v>12</v>
      </c>
      <c r="E23">
        <v>2200</v>
      </c>
    </row>
    <row r="24" spans="1:9" ht="15.75" x14ac:dyDescent="0.25">
      <c r="A24" t="s">
        <v>13</v>
      </c>
      <c r="B24" t="s">
        <v>14</v>
      </c>
      <c r="C24" t="s">
        <v>15</v>
      </c>
      <c r="D24" t="s">
        <v>16</v>
      </c>
      <c r="E24">
        <v>2300</v>
      </c>
      <c r="G24" s="1" t="s">
        <v>42</v>
      </c>
    </row>
    <row r="25" spans="1:9" x14ac:dyDescent="0.25">
      <c r="A25" t="s">
        <v>17</v>
      </c>
      <c r="B25" t="s">
        <v>18</v>
      </c>
      <c r="C25" t="s">
        <v>19</v>
      </c>
      <c r="D25" t="s">
        <v>20</v>
      </c>
      <c r="E25">
        <v>2400</v>
      </c>
    </row>
    <row r="26" spans="1:9" ht="15.75" x14ac:dyDescent="0.25">
      <c r="A26" t="s">
        <v>21</v>
      </c>
      <c r="B26" t="s">
        <v>18</v>
      </c>
      <c r="C26" t="s">
        <v>7</v>
      </c>
      <c r="D26" t="s">
        <v>22</v>
      </c>
      <c r="E26">
        <v>2500</v>
      </c>
      <c r="G26" s="1" t="s">
        <v>43</v>
      </c>
      <c r="H26">
        <f>SUMIFS($E$2:$E$51,$B$2:$B$51,"Beverage",$D$2:$D$51,"March")</f>
        <v>0</v>
      </c>
    </row>
    <row r="27" spans="1:9" x14ac:dyDescent="0.25">
      <c r="A27" t="s">
        <v>23</v>
      </c>
      <c r="B27" t="s">
        <v>10</v>
      </c>
      <c r="C27" t="s">
        <v>11</v>
      </c>
      <c r="D27" t="s">
        <v>8</v>
      </c>
      <c r="E27">
        <v>2600</v>
      </c>
    </row>
    <row r="28" spans="1:9" ht="15.75" x14ac:dyDescent="0.25">
      <c r="A28" t="s">
        <v>24</v>
      </c>
      <c r="B28" t="s">
        <v>10</v>
      </c>
      <c r="C28" t="s">
        <v>15</v>
      </c>
      <c r="D28" t="s">
        <v>12</v>
      </c>
      <c r="E28">
        <v>2700</v>
      </c>
      <c r="G28" s="1" t="s">
        <v>44</v>
      </c>
      <c r="H28">
        <f>SUMIFS($E$2:$E$51,$A$2:$A$51,"Godrej Soap",$C$2:$C$51,"South")</f>
        <v>9000</v>
      </c>
    </row>
    <row r="29" spans="1:9" x14ac:dyDescent="0.25">
      <c r="A29" t="s">
        <v>25</v>
      </c>
      <c r="B29" t="s">
        <v>26</v>
      </c>
      <c r="C29" t="s">
        <v>19</v>
      </c>
      <c r="D29" t="s">
        <v>16</v>
      </c>
      <c r="E29">
        <v>2800</v>
      </c>
    </row>
    <row r="30" spans="1:9" ht="15.75" x14ac:dyDescent="0.25">
      <c r="A30" t="s">
        <v>27</v>
      </c>
      <c r="B30" t="s">
        <v>28</v>
      </c>
      <c r="C30" t="s">
        <v>7</v>
      </c>
      <c r="D30" t="s">
        <v>20</v>
      </c>
      <c r="E30">
        <v>2900</v>
      </c>
      <c r="G30" s="1" t="s">
        <v>45</v>
      </c>
      <c r="H30">
        <f>SUMIFS($E$2:$E$51,$A$2:$A$51,"ITC Aashirvaad",$C$2:$C$51,"East")</f>
        <v>8100</v>
      </c>
    </row>
    <row r="31" spans="1:9" x14ac:dyDescent="0.25">
      <c r="A31" t="s">
        <v>29</v>
      </c>
      <c r="B31" t="s">
        <v>30</v>
      </c>
      <c r="C31" t="s">
        <v>11</v>
      </c>
      <c r="D31" t="s">
        <v>22</v>
      </c>
      <c r="E31">
        <v>3000</v>
      </c>
    </row>
    <row r="32" spans="1:9" ht="15.75" x14ac:dyDescent="0.25">
      <c r="A32" t="s">
        <v>5</v>
      </c>
      <c r="B32" t="s">
        <v>6</v>
      </c>
      <c r="C32" t="s">
        <v>15</v>
      </c>
      <c r="D32" t="s">
        <v>8</v>
      </c>
      <c r="E32">
        <v>3100</v>
      </c>
      <c r="G32" s="1" t="s">
        <v>46</v>
      </c>
    </row>
    <row r="33" spans="1:5" x14ac:dyDescent="0.25">
      <c r="A33" t="s">
        <v>9</v>
      </c>
      <c r="B33" t="s">
        <v>10</v>
      </c>
      <c r="C33" t="s">
        <v>19</v>
      </c>
      <c r="D33" t="s">
        <v>12</v>
      </c>
      <c r="E33">
        <v>3200</v>
      </c>
    </row>
    <row r="34" spans="1:5" x14ac:dyDescent="0.25">
      <c r="A34" t="s">
        <v>13</v>
      </c>
      <c r="B34" t="s">
        <v>14</v>
      </c>
      <c r="C34" t="s">
        <v>7</v>
      </c>
      <c r="D34" t="s">
        <v>16</v>
      </c>
      <c r="E34">
        <v>3300</v>
      </c>
    </row>
    <row r="35" spans="1:5" x14ac:dyDescent="0.25">
      <c r="A35" t="s">
        <v>17</v>
      </c>
      <c r="B35" t="s">
        <v>18</v>
      </c>
      <c r="C35" t="s">
        <v>11</v>
      </c>
      <c r="D35" t="s">
        <v>20</v>
      </c>
      <c r="E35">
        <v>3400</v>
      </c>
    </row>
    <row r="36" spans="1:5" x14ac:dyDescent="0.25">
      <c r="A36" t="s">
        <v>21</v>
      </c>
      <c r="B36" t="s">
        <v>18</v>
      </c>
      <c r="C36" t="s">
        <v>15</v>
      </c>
      <c r="D36" t="s">
        <v>22</v>
      </c>
      <c r="E36">
        <v>3500</v>
      </c>
    </row>
    <row r="37" spans="1:5" x14ac:dyDescent="0.25">
      <c r="A37" t="s">
        <v>23</v>
      </c>
      <c r="B37" t="s">
        <v>10</v>
      </c>
      <c r="C37" t="s">
        <v>19</v>
      </c>
      <c r="D37" t="s">
        <v>8</v>
      </c>
      <c r="E37">
        <v>3600</v>
      </c>
    </row>
    <row r="38" spans="1:5" x14ac:dyDescent="0.25">
      <c r="A38" t="s">
        <v>24</v>
      </c>
      <c r="B38" t="s">
        <v>10</v>
      </c>
      <c r="C38" t="s">
        <v>7</v>
      </c>
      <c r="D38" t="s">
        <v>12</v>
      </c>
      <c r="E38">
        <v>3700</v>
      </c>
    </row>
    <row r="39" spans="1:5" x14ac:dyDescent="0.25">
      <c r="A39" t="s">
        <v>25</v>
      </c>
      <c r="B39" t="s">
        <v>26</v>
      </c>
      <c r="C39" t="s">
        <v>11</v>
      </c>
      <c r="D39" t="s">
        <v>16</v>
      </c>
      <c r="E39">
        <v>3800</v>
      </c>
    </row>
    <row r="40" spans="1:5" x14ac:dyDescent="0.25">
      <c r="A40" t="s">
        <v>27</v>
      </c>
      <c r="B40" t="s">
        <v>28</v>
      </c>
      <c r="C40" t="s">
        <v>15</v>
      </c>
      <c r="D40" t="s">
        <v>20</v>
      </c>
      <c r="E40">
        <v>3900</v>
      </c>
    </row>
    <row r="41" spans="1:5" x14ac:dyDescent="0.25">
      <c r="A41" t="s">
        <v>29</v>
      </c>
      <c r="B41" t="s">
        <v>30</v>
      </c>
      <c r="C41" t="s">
        <v>19</v>
      </c>
      <c r="D41" t="s">
        <v>22</v>
      </c>
      <c r="E41">
        <v>4000</v>
      </c>
    </row>
    <row r="42" spans="1:5" x14ac:dyDescent="0.25">
      <c r="A42" t="s">
        <v>5</v>
      </c>
      <c r="B42" t="s">
        <v>6</v>
      </c>
      <c r="C42" t="s">
        <v>7</v>
      </c>
      <c r="D42" t="s">
        <v>8</v>
      </c>
      <c r="E42">
        <v>4100</v>
      </c>
    </row>
    <row r="43" spans="1:5" x14ac:dyDescent="0.25">
      <c r="A43" t="s">
        <v>9</v>
      </c>
      <c r="B43" t="s">
        <v>10</v>
      </c>
      <c r="C43" t="s">
        <v>11</v>
      </c>
      <c r="D43" t="s">
        <v>12</v>
      </c>
      <c r="E43">
        <v>4200</v>
      </c>
    </row>
    <row r="44" spans="1:5" x14ac:dyDescent="0.25">
      <c r="A44" t="s">
        <v>13</v>
      </c>
      <c r="B44" t="s">
        <v>14</v>
      </c>
      <c r="C44" t="s">
        <v>15</v>
      </c>
      <c r="D44" t="s">
        <v>16</v>
      </c>
      <c r="E44">
        <v>4300</v>
      </c>
    </row>
    <row r="45" spans="1:5" x14ac:dyDescent="0.25">
      <c r="A45" t="s">
        <v>17</v>
      </c>
      <c r="B45" t="s">
        <v>18</v>
      </c>
      <c r="C45" t="s">
        <v>19</v>
      </c>
      <c r="D45" t="s">
        <v>20</v>
      </c>
      <c r="E45">
        <v>4400</v>
      </c>
    </row>
    <row r="46" spans="1:5" x14ac:dyDescent="0.25">
      <c r="A46" t="s">
        <v>21</v>
      </c>
      <c r="B46" t="s">
        <v>18</v>
      </c>
      <c r="C46" t="s">
        <v>7</v>
      </c>
      <c r="D46" t="s">
        <v>22</v>
      </c>
      <c r="E46">
        <v>4500</v>
      </c>
    </row>
    <row r="47" spans="1:5" x14ac:dyDescent="0.25">
      <c r="A47" t="s">
        <v>23</v>
      </c>
      <c r="B47" t="s">
        <v>10</v>
      </c>
      <c r="C47" t="s">
        <v>11</v>
      </c>
      <c r="D47" t="s">
        <v>8</v>
      </c>
      <c r="E47">
        <v>4600</v>
      </c>
    </row>
    <row r="48" spans="1:5" x14ac:dyDescent="0.25">
      <c r="A48" t="s">
        <v>24</v>
      </c>
      <c r="B48" t="s">
        <v>10</v>
      </c>
      <c r="C48" t="s">
        <v>15</v>
      </c>
      <c r="D48" t="s">
        <v>12</v>
      </c>
      <c r="E48">
        <v>4700</v>
      </c>
    </row>
    <row r="49" spans="1:5" x14ac:dyDescent="0.25">
      <c r="A49" t="s">
        <v>25</v>
      </c>
      <c r="B49" t="s">
        <v>26</v>
      </c>
      <c r="C49" t="s">
        <v>19</v>
      </c>
      <c r="D49" t="s">
        <v>16</v>
      </c>
      <c r="E49">
        <v>4800</v>
      </c>
    </row>
    <row r="50" spans="1:5" x14ac:dyDescent="0.25">
      <c r="A50" t="s">
        <v>27</v>
      </c>
      <c r="B50" t="s">
        <v>28</v>
      </c>
      <c r="C50" t="s">
        <v>7</v>
      </c>
      <c r="D50" t="s">
        <v>20</v>
      </c>
      <c r="E50">
        <v>4900</v>
      </c>
    </row>
    <row r="51" spans="1:5" x14ac:dyDescent="0.25">
      <c r="A51" t="s">
        <v>29</v>
      </c>
      <c r="B51" t="s">
        <v>30</v>
      </c>
      <c r="C51" t="s">
        <v>11</v>
      </c>
      <c r="D51" t="s">
        <v>22</v>
      </c>
      <c r="E51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Ujjawal Tyagi</cp:lastModifiedBy>
  <dcterms:created xsi:type="dcterms:W3CDTF">2025-12-16T10:30:53Z</dcterms:created>
  <dcterms:modified xsi:type="dcterms:W3CDTF">2025-12-17T11:28:39Z</dcterms:modified>
</cp:coreProperties>
</file>